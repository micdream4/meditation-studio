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e0cbb29c0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e5951c4215d410c"/>
    <x:sheet xmlns:r="http://schemas.openxmlformats.org/officeDocument/2006/relationships" name="Inputs" sheetId="2" r:id="R17b936ac4a5f4604"/>
    <x:sheet xmlns:r="http://schemas.openxmlformats.org/officeDocument/2006/relationships" name="Scenario Model" sheetId="3" r:id="R4f1efc3622f345bc"/>
    <x:sheet xmlns:r="http://schemas.openxmlformats.org/officeDocument/2006/relationships" name="Sources" sheetId="4" r:id="Rb60ef96b4311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$0.00"/>
    <x:numFmt numFmtId="202" formatCode="0"/>
    <x:numFmt numFmtId="203" formatCode="0.0"/>
  </x:numFmts>
  <x:fonts count="6">
    <x:font>
      <x:sz val="11"/>
      <x:name val="Carlito"/>
    </x:font>
    <x:font>
      <x:b/>
      <x:sz val="18"/>
      <x:color rgb="1F2933"/>
      <x:name val="Aptos Display"/>
    </x:font>
    <x:font>
      <x:b/>
      <x:sz val="11"/>
      <x:color rgb="FFFFFF"/>
      <x:name val="Aptos"/>
    </x:font>
    <x:font>
      <x:sz val="10"/>
      <x:color rgb="6B6258"/>
      <x:name val="Aptos"/>
    </x:font>
    <x:font>
      <x:b/>
      <x:sz val="11"/>
      <x:color rgb="2F2A26"/>
      <x:name val="Aptos"/>
    </x:font>
    <x:font>
      <x:sz val="11"/>
      <x:color rgb="2F2A26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7F2EA"/>
      </x:patternFill>
    </x:fill>
    <x:fill>
      <x:patternFill patternType="solid">
        <x:fgColor rgb="5F8A69"/>
      </x:patternFill>
    </x:fill>
    <x:fill>
      <x:patternFill patternType="solid">
        <x:fgColor rgb="FFF4CC"/>
      </x:patternFill>
    </x:fill>
  </x:fills>
  <x:borders count="13">
    <x:border/>
    <x:border>
      <x:left style="thin">
        <x:color rgb="D8D2C7"/>
      </x:left>
      <x:top style="thin">
        <x:color rgb="D8D2C7"/>
      </x:top>
      <x:bottom style="thin">
        <x:color rgb="D8D2C7"/>
      </x:bottom>
    </x:border>
    <x:border>
      <x:top style="thin">
        <x:color rgb="D8D2C7"/>
      </x:top>
      <x:bottom style="thin">
        <x:color rgb="D8D2C7"/>
      </x:bottom>
    </x:border>
    <x:border>
      <x:right style="thin">
        <x:color rgb="D8D2C7"/>
      </x:right>
      <x:top style="thin">
        <x:color rgb="D8D2C7"/>
      </x:top>
      <x:bottom style="thin">
        <x:color rgb="D8D2C7"/>
      </x:bottom>
    </x:border>
    <x:border>
      <x:left style="thin">
        <x:color rgb="D8D2C7"/>
      </x:left>
      <x:right style="thin">
        <x:color rgb="D8D2C7"/>
      </x:right>
      <x:top style="thin">
        <x:color rgb="D8D2C7"/>
      </x:top>
    </x:border>
    <x:border>
      <x:left style="thin">
        <x:color rgb="D8D2C7"/>
      </x:left>
      <x:right style="thin">
        <x:color rgb="D8D2C7"/>
      </x:right>
    </x:border>
    <x:border>
      <x:left style="thin">
        <x:color rgb="D8D2C7"/>
      </x:left>
      <x:right style="thin">
        <x:color rgb="D8D2C7"/>
      </x:right>
      <x:bottom style="thin">
        <x:color rgb="D8D2C7"/>
      </x:bottom>
    </x:border>
    <x:border>
      <x:left style="thin">
        <x:color rgb="D8D2C7"/>
      </x:left>
      <x:top style="thin">
        <x:color rgb="D8D2C7"/>
      </x:top>
    </x:border>
    <x:border>
      <x:right style="thin">
        <x:color rgb="D8D2C7"/>
      </x:right>
      <x:top style="thin">
        <x:color rgb="D8D2C7"/>
      </x:top>
    </x:border>
    <x:border>
      <x:left style="thin">
        <x:color rgb="D8D2C7"/>
      </x:left>
    </x:border>
    <x:border>
      <x:right style="thin">
        <x:color rgb="D8D2C7"/>
      </x:right>
    </x:border>
    <x:border>
      <x:left style="thin">
        <x:color rgb="D8D2C7"/>
      </x:left>
      <x:bottom style="thin">
        <x:color rgb="D8D2C7"/>
      </x:bottom>
    </x:border>
    <x:border>
      <x:right style="thin">
        <x:color rgb="D8D2C7"/>
      </x:right>
      <x:bottom style="thin">
        <x:color rgb="D8D2C7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0" fillId="4" borderId="4" xfId="0" applyNumberFormat="1" applyFont="1" applyFill="1" applyBorder="1"/>
    <x:xf numFmtId="201" fontId="0" fillId="4" borderId="5" xfId="0" applyNumberFormat="1" applyFont="1" applyFill="1" applyBorder="1"/>
    <x:xf numFmtId="202" fontId="0" fillId="4" borderId="5" xfId="0" applyNumberFormat="1" applyFont="1" applyFill="1" applyBorder="1"/>
    <x:xf numFmtId="200" fontId="0" fillId="4" borderId="5" xfId="0" applyNumberFormat="1" applyFont="1" applyFill="1" applyBorder="1"/>
    <x:xf numFmtId="20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201" fontId="0" fillId="4" borderId="7" xfId="0" applyNumberFormat="1" applyFont="1" applyFill="1" applyBorder="1"/>
    <x:xf numFmtId="201" fontId="0" fillId="4" borderId="9" xfId="0" applyNumberFormat="1" applyFont="1" applyFill="1" applyBorder="1"/>
    <x:xf numFmtId="201" fontId="0" fillId="4" borderId="11" xfId="0" applyNumberFormat="1" applyFont="1" applyFill="1" applyBorder="1"/>
    <x:xf numFmtId="203" fontId="0" fillId="4" borderId="8" xfId="0" applyNumberFormat="1" applyFont="1" applyFill="1" applyBorder="1"/>
    <x:xf numFmtId="203" fontId="0" fillId="4" borderId="10" xfId="0" applyNumberFormat="1" applyFont="1" applyFill="1" applyBorder="1"/>
    <x:xf numFmtId="203" fontId="0" fillId="4" borderId="12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4" borderId="4" xfId="0" applyNumberFormat="1" applyFont="1" applyFill="1" applyBorder="1"/>
    <x:xf numFmtId="201" fontId="5" fillId="4" borderId="5" xfId="0" applyNumberFormat="1" applyFont="1" applyFill="1" applyBorder="1"/>
    <x:xf numFmtId="202" fontId="5" fillId="4" borderId="5" xfId="0" applyNumberFormat="1" applyFont="1" applyFill="1" applyBorder="1"/>
    <x:xf numFmtId="200" fontId="5" fillId="4" borderId="5" xfId="0" applyNumberFormat="1" applyFont="1" applyFill="1" applyBorder="1"/>
    <x:xf numFmtId="200" fontId="5" fillId="4" borderId="6" xfId="0" applyNumberFormat="1" applyFont="1" applyFill="1" applyBorder="1"/>
    <x:xf numFmtId="200" fontId="5" fillId="4" borderId="4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2" fontId="5" fillId="4" borderId="5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200" fontId="5" fillId="4" borderId="6" xfId="0" applyNumberFormat="1" applyFont="1" applyFill="1" applyBorder="1" applyAlignment="1">
      <x:alignment vertical="center"/>
    </x:xf>
    <x:xf numFmtId="201" fontId="5" fillId="4" borderId="7" xfId="0" applyNumberFormat="1" applyFont="1" applyFill="1" applyBorder="1"/>
    <x:xf numFmtId="203" fontId="5" fillId="4" borderId="8" xfId="0" applyNumberFormat="1" applyFont="1" applyFill="1" applyBorder="1"/>
    <x:xf numFmtId="201" fontId="5" fillId="4" borderId="9" xfId="0" applyNumberFormat="1" applyFont="1" applyFill="1" applyBorder="1"/>
    <x:xf numFmtId="203" fontId="5" fillId="4" borderId="10" xfId="0" applyNumberFormat="1" applyFont="1" applyFill="1" applyBorder="1"/>
    <x:xf numFmtId="201" fontId="5" fillId="4" borderId="11" xfId="0" applyNumberFormat="1" applyFont="1" applyFill="1" applyBorder="1"/>
    <x:xf numFmtId="203" fontId="5" fillId="4" borderId="12" xfId="0" applyNumberFormat="1" applyFont="1" applyFill="1" applyBorder="1"/>
    <x:xf numFmtId="201" fontId="5" fillId="4" borderId="7" xfId="0" applyNumberFormat="1" applyFont="1" applyFill="1" applyBorder="1" applyAlignment="1">
      <x:alignment vertical="center"/>
    </x:xf>
    <x:xf numFmtId="203" fontId="5" fillId="4" borderId="8" xfId="0" applyNumberFormat="1" applyFont="1" applyFill="1" applyBorder="1" applyAlignment="1">
      <x:alignment vertical="center"/>
    </x:xf>
    <x:xf numFmtId="201" fontId="5" fillId="4" borderId="9" xfId="0" applyNumberFormat="1" applyFont="1" applyFill="1" applyBorder="1" applyAlignment="1">
      <x:alignment vertical="center"/>
    </x:xf>
    <x:xf numFmtId="203" fontId="5" fillId="4" borderId="10" xfId="0" applyNumberFormat="1" applyFont="1" applyFill="1" applyBorder="1" applyAlignment="1">
      <x:alignment vertical="center"/>
    </x:xf>
    <x:xf numFmtId="201" fontId="5" fillId="4" borderId="11" xfId="0" applyNumberFormat="1" applyFont="1" applyFill="1" applyBorder="1" applyAlignment="1">
      <x:alignment vertical="center"/>
    </x:xf>
    <x:xf numFmtId="203" fontId="5" fillId="4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c0563ad814404" /><Relationship Type="http://schemas.openxmlformats.org/officeDocument/2006/relationships/theme" Target="/xl/theme/theme1.xml" Id="R6f655879505e493b" /><Relationship Type="http://schemas.openxmlformats.org/officeDocument/2006/relationships/sharedStrings" Target="/xl/sharedStrings.xml" Id="R34ecf513d32b4624" /><Relationship Type="http://schemas.openxmlformats.org/officeDocument/2006/relationships/worksheet" Target="/xl/worksheets/sheet1.xml" Id="R8e5951c4215d410c" /><Relationship Type="http://schemas.openxmlformats.org/officeDocument/2006/relationships/worksheet" Target="/xl/worksheets/sheet2.xml" Id="R17b936ac4a5f4604" /><Relationship Type="http://schemas.openxmlformats.org/officeDocument/2006/relationships/worksheet" Target="/xl/worksheets/sheet3.xml" Id="R4f1efc3622f345bc" /><Relationship Type="http://schemas.openxmlformats.org/officeDocument/2006/relationships/worksheet" Target="/xl/worksheets/sheet4.xml" Id="Rb60ef96b431143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79.13999938964844" hidden="0" customWidth="1"/>
    <x:col min="3" max="3" width="17.18000030517578" hidden="0" customWidth="1"/>
    <x:col min="4" max="4" width="17.18000030517578" hidden="0" customWidth="1"/>
    <x:col min="5" max="5" width="17.18000030517578" hidden="0" customWidth="1"/>
    <x:col min="6" max="6" width="17.18000030517578" hidden="0" customWidth="1"/>
    <x:col min="7" max="7" width="17.18000030517578" hidden="0" customWidth="1"/>
    <x:col min="8" max="8" width="17.18000030517578" hidden="0" customWidth="1"/>
  </x:cols>
  <x:sheetData>
    <x:row r="1">
      <x:c r="A1" s="45" t="str">
        <x:v>Meditation Studio Pricing Comparison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54"/>
      <x:c r="J1" s="54"/>
      <x:c r="K1" s="54"/>
      <x:c r="L1" s="54"/>
      <x:c r="M1" s="54"/>
      <x:c r="N1" s="54"/>
      <x:c r="O1" s="54"/>
      <x:c r="P1" s="54"/>
      <x:c r="Q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</x:row>
    <x:row r="3">
      <x:c r="A3" s="47" t="str">
        <x:v>Scenario</x:v>
      </x:c>
      <x:c r="B3" s="48" t="str">
        <x:v>Price</x:v>
      </x:c>
      <x:c r="C3" s="48" t="str">
        <x:v>Credits</x:v>
      </x:c>
      <x:c r="D3" s="48" t="str">
        <x:v>Net after Creem/tax/refund</x:v>
      </x:c>
      <x:c r="E3" s="48" t="str">
        <x:v>Total variable cost</x:v>
      </x:c>
      <x:c r="F3" s="48" t="str">
        <x:v>Gross profit</x:v>
      </x:c>
      <x:c r="G3" s="48" t="str">
        <x:v>Gross margin</x:v>
      </x:c>
      <x:c r="H3" s="49" t="str">
        <x:v>Profit / credit</x:v>
      </x:c>
      <x:c r="I3" s="54"/>
      <x:c r="J3" s="54"/>
      <x:c r="K3" s="54"/>
      <x:c r="L3" s="54"/>
      <x:c r="M3" s="54"/>
      <x:c r="N3" s="54"/>
      <x:c r="O3" s="54"/>
      <x:c r="P3" s="54"/>
      <x:c r="Q3" s="54"/>
    </x:row>
    <x:row r="4">
      <x:c r="A4" s="54" t="str">
        <x:v>Basic</x:v>
      </x:c>
      <x:c r="B4" s="55" t="n">
        <x:f>'Scenario Model'!B4</x:f>
        <x:v>9.9</x:v>
      </x:c>
      <x:c r="C4" s="56" t="n">
        <x:f>'Scenario Model'!C4</x:f>
        <x:v>30</x:v>
      </x:c>
      <x:c r="D4" s="54" t="n">
        <x:f>'Scenario Model'!H4</x:f>
        <x:v>9.0149</x:v>
      </x:c>
      <x:c r="E4" s="54" t="n">
        <x:f>'Scenario Model'!N4</x:f>
        <x:v>2.75705</x:v>
      </x:c>
      <x:c r="F4" s="54" t="n">
        <x:f>'Scenario Model'!O4</x:f>
        <x:v>6.257850000000001</x:v>
      </x:c>
      <x:c r="G4" s="57" t="n">
        <x:f>'Scenario Model'!P4</x:f>
        <x:v>0.6321060606060607</x:v>
      </x:c>
      <x:c r="H4" s="54" t="n">
        <x:f>'Scenario Model'!O4/'Scenario Model'!C4</x:f>
        <x:v>0.20859500000000003</x:v>
      </x:c>
      <x:c r="I4" s="54"/>
      <x:c r="J4" s="54"/>
      <x:c r="K4" s="54"/>
      <x:c r="L4" s="54"/>
      <x:c r="M4" s="54"/>
      <x:c r="N4" s="54"/>
      <x:c r="O4" s="54"/>
      <x:c r="P4" s="54"/>
      <x:c r="Q4" s="54"/>
    </x:row>
    <x:row r="5">
      <x:c r="A5" s="54" t="str">
        <x:v>Plus</x:v>
      </x:c>
      <x:c r="B5" s="55" t="n">
        <x:f>'Scenario Model'!B5</x:f>
        <x:v>19.9</x:v>
      </x:c>
      <x:c r="C5" s="56" t="n">
        <x:f>'Scenario Model'!C5</x:f>
        <x:v>75</x:v>
      </x:c>
      <x:c r="D5" s="54" t="n">
        <x:f>'Scenario Model'!H5</x:f>
        <x:v>18.5249</x:v>
      </x:c>
      <x:c r="E5" s="54" t="n">
        <x:f>'Scenario Model'!N5</x:f>
        <x:v>6.142625</x:v>
      </x:c>
      <x:c r="F5" s="54" t="n">
        <x:f>'Scenario Model'!O5</x:f>
        <x:v>12.382275</x:v>
      </x:c>
      <x:c r="G5" s="57" t="n">
        <x:f>'Scenario Model'!P5</x:f>
        <x:v>0.6222248743718594</x:v>
      </x:c>
      <x:c r="H5" s="54" t="n">
        <x:f>'Scenario Model'!O5/'Scenario Model'!C5</x:f>
        <x:v>0.165097</x:v>
      </x:c>
      <x:c r="I5" s="54"/>
      <x:c r="J5" s="54"/>
      <x:c r="K5" s="54"/>
      <x:c r="L5" s="54"/>
      <x:c r="M5" s="54"/>
      <x:c r="N5" s="54"/>
      <x:c r="O5" s="54"/>
      <x:c r="P5" s="54"/>
      <x:c r="Q5" s="54"/>
    </x:row>
    <x:row r="6">
      <x:c r="A6" s="54" t="str">
        <x:v>Pro</x:v>
      </x:c>
      <x:c r="B6" s="55" t="n">
        <x:f>'Scenario Model'!B6</x:f>
        <x:v>29.9</x:v>
      </x:c>
      <x:c r="C6" s="56" t="n">
        <x:f>'Scenario Model'!C6</x:f>
        <x:v>120</x:v>
      </x:c>
      <x:c r="D6" s="54" t="n">
        <x:f>'Scenario Model'!H6</x:f>
        <x:v>28.0349</x:v>
      </x:c>
      <x:c r="E6" s="54" t="n">
        <x:f>'Scenario Model'!N6</x:f>
        <x:v>9.5282</x:v>
      </x:c>
      <x:c r="F6" s="54" t="n">
        <x:f>'Scenario Model'!O6</x:f>
        <x:v>18.506700000000002</x:v>
      </x:c>
      <x:c r="G6" s="57" t="n">
        <x:f>'Scenario Model'!P6</x:f>
        <x:v>0.6189531772575252</x:v>
      </x:c>
      <x:c r="H6" s="54" t="n">
        <x:f>'Scenario Model'!O6/'Scenario Model'!C6</x:f>
        <x:v>0.1542225</x:v>
      </x:c>
      <x:c r="I6" s="54"/>
      <x:c r="J6" s="54"/>
      <x:c r="K6" s="54"/>
      <x:c r="L6" s="54"/>
      <x:c r="M6" s="54"/>
      <x:c r="N6" s="54"/>
      <x:c r="O6" s="54"/>
      <x:c r="P6" s="54"/>
      <x:c r="Q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</x:row>
    <x:row r="8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</x:row>
    <x:row r="9">
      <x:c r="A9" s="47" t="str">
        <x:v>Key reading</x:v>
      </x:c>
      <x:c r="B9" s="49" t="str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</x:row>
    <x:row r="10">
      <x:c r="A10" s="54" t="str">
        <x:v>Basic $9.90 / 30 credits</x:v>
      </x:c>
      <x:c r="B10" s="58" t="str">
        <x:v>Lower entry price with enough credits for occasional short sessions.</x:v>
      </x:c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</x:row>
    <x:row r="11">
      <x:c r="A11" s="54" t="str">
        <x:v>Plus $19.90 / 75 credits</x:v>
      </x:c>
      <x:c r="B11" s="58" t="str">
        <x:v>Recommended default plan: much better user value than 30 credits while keeping margin healthy.</x:v>
      </x:c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</x:row>
    <x:row r="12">
      <x:c r="A12" s="54" t="str">
        <x:v>Pro $29.90 / 120 credits</x:v>
      </x:c>
      <x:c r="B12" s="58" t="str">
        <x:v>For frequent users and longer sessions, still profitable under full-credit usage assumptions.</x:v>
      </x:c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</x:row>
    <x:row r="13">
      <x:c r="A13" s="54" t="str">
        <x:v>Main cost driver</x:v>
      </x:c>
      <x:c r="B13" s="58" t="str">
        <x:v>ElevenLabs TTS characters. OpenRouter script generation is currently negligible.</x:v>
      </x:c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</x:row>
    <x:row r="14">
      <x:c r="A14" s="54" t="str">
        <x:v>Important caveat</x:v>
      </x:c>
      <x:c r="B14" s="58" t="str">
        <x:v>All calculations assume full credit consumption. Real margins improve when subscribers leave unused credits.</x:v>
      </x:c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15.34000015258789" hidden="0" customWidth="1"/>
    <x:col min="3" max="3" width="20.25" hidden="0" customWidth="1"/>
    <x:col min="4" max="4" width="20.25" hidden="0" customWidth="1"/>
    <x:col min="5" max="5" width="54.599998474121094" hidden="0" customWidth="1"/>
  </x:cols>
  <x:sheetData>
    <x:row r="1">
      <x:c r="A1" s="45" t="str">
        <x:v>Meditation Studio Pricing Inputs</x:v>
      </x:c>
      <x:c r="B1" s="45" t="str"/>
      <x:c r="C1" s="45" t="str"/>
      <x:c r="D1" s="45" t="str"/>
      <x:c r="E1" s="45" t="str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</x:row>
    <x:row r="3">
      <x:c r="A3" s="47" t="str">
        <x:v>Input</x:v>
      </x:c>
      <x:c r="B3" s="48" t="str">
        <x:v>Value</x:v>
      </x:c>
      <x:c r="C3" s="48" t="str">
        <x:v>Unit</x:v>
      </x:c>
      <x:c r="D3" s="48" t="str">
        <x:v>Current default</x:v>
      </x:c>
      <x:c r="E3" s="49" t="str">
        <x:v>Notes</x:v>
      </x:c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</x:row>
    <x:row r="4">
      <x:c r="A4" s="54" t="str">
        <x:v>Creem variable fee</x:v>
      </x:c>
      <x:c r="B4" s="64" t="n">
        <x:v>0.039</x:v>
      </x:c>
      <x:c r="C4" s="54" t="str">
        <x:v>% of payment</x:v>
      </x:c>
      <x:c r="D4" s="54" t="str">
        <x:v>3.9%</x:v>
      </x:c>
      <x:c r="E4" s="58" t="str">
        <x:v>Official Creem public pricing.</x:v>
      </x:c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</x:row>
    <x:row r="5">
      <x:c r="A5" s="54" t="str">
        <x:v>Creem fixed fee</x:v>
      </x:c>
      <x:c r="B5" s="65" t="n">
        <x:v>0.4</x:v>
      </x:c>
      <x:c r="C5" s="54" t="str">
        <x:v>USD / transaction</x:v>
      </x:c>
      <x:c r="D5" s="54" t="str">
        <x:v>$0.40</x:v>
      </x:c>
      <x:c r="E5" s="58" t="str">
        <x:v>Per successful transaction.</x:v>
      </x:c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</x:row>
    <x:row r="6">
      <x:c r="A6" s="54" t="str">
        <x:v>ElevenLabs TTS price</x:v>
      </x:c>
      <x:c r="B6" s="65" t="n">
        <x:v>0.1</x:v>
      </x:c>
      <x:c r="C6" s="54" t="str">
        <x:v>USD / 1K characters</x:v>
      </x:c>
      <x:c r="D6" s="54" t="str">
        <x:v>$0.10</x:v>
      </x:c>
      <x:c r="E6" s="58" t="str">
        <x:v>Multilingual v2 / v3 Text to Speech API.</x:v>
      </x:c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</x:row>
    <x:row r="7">
      <x:c r="A7" s="54" t="str">
        <x:v>Characters per credit</x:v>
      </x:c>
      <x:c r="B7" s="66" t="n">
        <x:v>750</x:v>
      </x:c>
      <x:c r="C7" s="54" t="str">
        <x:v>characters / generated minute</x:v>
      </x:c>
      <x:c r="D7" s="54" t="str">
        <x:v>650-850 practical range</x:v>
      </x:c>
      <x:c r="E7" s="58" t="str">
        <x:v>One product credit equals one generated audio minute. This includes script text plus pause punctuation expansion.</x:v>
      </x:c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</x:row>
    <x:row r="8">
      <x:c r="A8" s="54" t="str">
        <x:v>OpenRouter input price</x:v>
      </x:c>
      <x:c r="B8" s="65" t="n">
        <x:v>0.25</x:v>
      </x:c>
      <x:c r="C8" s="54" t="str">
        <x:v>USD / 1M tokens</x:v>
      </x:c>
      <x:c r="D8" s="54" t="str">
        <x:v>$0.25</x:v>
      </x:c>
      <x:c r="E8" s="58" t="str">
        <x:v>Current default model qwen/qwen3.6-flash.</x:v>
      </x:c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</x:row>
    <x:row r="9">
      <x:c r="A9" s="54" t="str">
        <x:v>OpenRouter output price</x:v>
      </x:c>
      <x:c r="B9" s="65" t="n">
        <x:v>1.5</x:v>
      </x:c>
      <x:c r="C9" s="54" t="str">
        <x:v>USD / 1M tokens</x:v>
      </x:c>
      <x:c r="D9" s="54" t="str">
        <x:v>$1.50</x:v>
      </x:c>
      <x:c r="E9" s="58" t="str">
        <x:v>Current default model qwen/qwen3.6-flash.</x:v>
      </x:c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</x:row>
    <x:row r="10">
      <x:c r="A10" s="54" t="str">
        <x:v>Input tokens per session</x:v>
      </x:c>
      <x:c r="B10" s="66" t="n">
        <x:v>1000</x:v>
      </x:c>
      <x:c r="C10" s="54" t="str">
        <x:v>tokens / generation</x:v>
      </x:c>
      <x:c r="D10" s="54" t="str">
        <x:v>1,000</x:v>
      </x:c>
      <x:c r="E10" s="58" t="str">
        <x:v>Prompt, mood, instructions, and schema overhead.</x:v>
      </x:c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</x:row>
    <x:row r="11">
      <x:c r="A11" s="54" t="str">
        <x:v>Output tokens per credit</x:v>
      </x:c>
      <x:c r="B11" s="66" t="n">
        <x:v>140</x:v>
      </x:c>
      <x:c r="C11" s="54" t="str">
        <x:v>tokens / generated minute</x:v>
      </x:c>
      <x:c r="D11" s="54" t="str">
        <x:v>120-170 range</x:v>
      </x:c>
      <x:c r="E11" s="58" t="str">
        <x:v>Guided meditation script output tokens per generated minute.</x:v>
      </x:c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</x:row>
    <x:row r="12">
      <x:c r="A12" s="54" t="str">
        <x:v>Average session length</x:v>
      </x:c>
      <x:c r="B12" s="66" t="n">
        <x:v>10</x:v>
      </x:c>
      <x:c r="C12" s="54" t="str">
        <x:v>credits / session</x:v>
      </x:c>
      <x:c r="D12" s="54" t="str">
        <x:v>10</x:v>
      </x:c>
      <x:c r="E12" s="58" t="str">
        <x:v>Used to estimate number of OpenRouter calls. Credit cost itself is still duration minutes.</x:v>
      </x:c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</x:row>
    <x:row r="13">
      <x:c r="A13" s="54" t="str">
        <x:v>Generated music cost</x:v>
      </x:c>
      <x:c r="B13" s="65" t="n">
        <x:v>0</x:v>
      </x:c>
      <x:c r="C13" s="54" t="str">
        <x:v>USD / minute</x:v>
      </x:c>
      <x:c r="D13" s="54" t="str">
        <x:v>$0 default</x:v>
      </x:c>
      <x:c r="E13" s="58" t="str">
        <x:v>Keep at 0 for licensed/static background loops. Set to 0.30 if using ElevenLabs Music generation per minute.</x:v>
      </x:c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</x:row>
    <x:row r="14">
      <x:c r="A14" s="54" t="str">
        <x:v>Other variable cost</x:v>
      </x:c>
      <x:c r="B14" s="65" t="n">
        <x:v>0.5</x:v>
      </x:c>
      <x:c r="C14" s="54" t="str">
        <x:v>USD / subscriber</x:v>
      </x:c>
      <x:c r="D14" s="54" t="str">
        <x:v>$0.50 reserve</x:v>
      </x:c>
      <x:c r="E14" s="58" t="str">
        <x:v>Storage, bandwidth, support, failed generations, retries. This is an adjustable reserve, not a quoted vendor fee.</x:v>
      </x:c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</x:row>
    <x:row r="15">
      <x:c r="A15" s="54" t="str">
        <x:v>Tax reserve</x:v>
      </x:c>
      <x:c r="B15" s="67" t="n">
        <x:v>0</x:v>
      </x:c>
      <x:c r="C15" s="54" t="str">
        <x:v>% of payment</x:v>
      </x:c>
      <x:c r="D15" s="54" t="str">
        <x:v>0%</x:v>
      </x:c>
      <x:c r="E15" s="58" t="str">
        <x:v>Creem is MoR and handles tax collection/remittance, but tax-inclusive settlement should be reconciled against Creem reports.</x:v>
      </x:c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</x:row>
    <x:row r="16">
      <x:c r="A16" s="54" t="str">
        <x:v>Refund/chargeback reserve</x:v>
      </x:c>
      <x:c r="B16" s="68" t="n">
        <x:v>0.01</x:v>
      </x:c>
      <x:c r="C16" s="54" t="str">
        <x:v>% of payment</x:v>
      </x:c>
      <x:c r="D16" s="54" t="str">
        <x:v>1%</x:v>
      </x:c>
      <x:c r="E16" s="58" t="str">
        <x:v>Adjust after real refund/chargeback data.</x:v>
      </x:c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</x:row>
    <x:row r="17">
      <x:c r="A17" s="54" t="str">
        <x:v>Scenario note</x:v>
      </x:c>
      <x:c r="B17" s="54" t="str">
        <x:v>Full-credit-use case</x:v>
      </x:c>
      <x:c r="C17" s="54" t="str"/>
      <x:c r="D17" s="54" t="str"/>
      <x:c r="E17" s="58" t="str">
        <x:v>The model assumes subscribers consume all included credits. Real margins improve if average usage is below allowance.</x:v>
      </x:c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3.5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13.5" hidden="0" customWidth="1"/>
    <x:col min="16" max="16" width="13.5" hidden="0" customWidth="1"/>
    <x:col min="17" max="17" width="13.5" hidden="0" customWidth="1"/>
  </x:cols>
  <x:sheetData>
    <x:row r="1">
      <x:c r="A1" s="45" t="str">
        <x:v>Scenario Model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5" t="str"/>
      <x:c r="M1" s="45" t="str"/>
      <x:c r="N1" s="45" t="str"/>
      <x:c r="O1" s="45" t="str"/>
      <x:c r="P1" s="45" t="str"/>
      <x:c r="Q1" s="45" t="str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</x:row>
    <x:row r="3">
      <x:c r="A3" s="47" t="str">
        <x:v>Scenario</x:v>
      </x:c>
      <x:c r="B3" s="48" t="str">
        <x:v>Monthly price</x:v>
      </x:c>
      <x:c r="C3" s="48" t="str">
        <x:v>Credits included</x:v>
      </x:c>
      <x:c r="D3" s="48" t="str">
        <x:v>Revenue / credit</x:v>
      </x:c>
      <x:c r="E3" s="48" t="str">
        <x:v>Creem fee</x:v>
      </x:c>
      <x:c r="F3" s="48" t="str">
        <x:v>Tax reserve</x:v>
      </x:c>
      <x:c r="G3" s="48" t="str">
        <x:v>Refund reserve</x:v>
      </x:c>
      <x:c r="H3" s="48" t="str">
        <x:v>Net after platform</x:v>
      </x:c>
      <x:c r="I3" s="48" t="str">
        <x:v>Estimated sessions</x:v>
      </x:c>
      <x:c r="J3" s="48" t="str">
        <x:v>TTS cost</x:v>
      </x:c>
      <x:c r="K3" s="48" t="str">
        <x:v>OpenRouter cost</x:v>
      </x:c>
      <x:c r="L3" s="48" t="str">
        <x:v>Generated music cost</x:v>
      </x:c>
      <x:c r="M3" s="48" t="str">
        <x:v>Other variable cost</x:v>
      </x:c>
      <x:c r="N3" s="48" t="str">
        <x:v>Total variable cost</x:v>
      </x:c>
      <x:c r="O3" s="48" t="str">
        <x:v>Gross profit</x:v>
      </x:c>
      <x:c r="P3" s="48" t="str">
        <x:v>Gross margin</x:v>
      </x:c>
      <x:c r="Q3" s="49" t="str">
        <x:v>Break-even price</x:v>
      </x:c>
    </x:row>
    <x:row r="4">
      <x:c r="A4" s="54" t="str">
        <x:v>Basic</x:v>
      </x:c>
      <x:c r="B4" s="75" t="n">
        <x:v>9.9</x:v>
      </x:c>
      <x:c r="C4" s="76" t="n">
        <x:v>30</x:v>
      </x:c>
      <x:c r="D4" s="54" t="n">
        <x:f>B4/C4</x:f>
        <x:v>0.33</x:v>
      </x:c>
      <x:c r="E4" s="54" t="n">
        <x:f>B4*Inputs!$B$4+Inputs!$B$5</x:f>
        <x:v>0.7861</x:v>
      </x:c>
      <x:c r="F4" s="54" t="n">
        <x:f>B4*Inputs!$B$15</x:f>
        <x:v>0</x:v>
      </x:c>
      <x:c r="G4" s="54" t="n">
        <x:f>B4*Inputs!$B$16</x:f>
        <x:v>0.099</x:v>
      </x:c>
      <x:c r="H4" s="54" t="n">
        <x:f>B4-E4-F4-G4</x:f>
        <x:v>9.0149</x:v>
      </x:c>
      <x:c r="I4" s="54" t="n">
        <x:f>C4/Inputs!$B$12</x:f>
        <x:v>3</x:v>
      </x:c>
      <x:c r="J4" s="54" t="n">
        <x:f>C4*Inputs!$B$7/1000*Inputs!$B$6</x:f>
        <x:v>2.25</x:v>
      </x:c>
      <x:c r="K4" s="54" t="n">
        <x:f>I4*Inputs!$B$10/1000000*Inputs!$B$8+C4*Inputs!$B$11/1000000*Inputs!$B$9</x:f>
        <x:v>0.00705</x:v>
      </x:c>
      <x:c r="L4" s="54" t="n">
        <x:f>C4*Inputs!$B$13</x:f>
        <x:v>0</x:v>
      </x:c>
      <x:c r="M4" s="54" t="n">
        <x:f>Inputs!$B$14</x:f>
        <x:v>0.5</x:v>
      </x:c>
      <x:c r="N4" s="54" t="n">
        <x:f>J4+K4+L4+M4</x:f>
        <x:v>2.75705</x:v>
      </x:c>
      <x:c r="O4" s="54" t="n">
        <x:f>H4-N4</x:f>
        <x:v>6.257850000000001</x:v>
      </x:c>
      <x:c r="P4" s="57" t="n">
        <x:f>O4/B4</x:f>
        <x:v>0.6321060606060607</x:v>
      </x:c>
      <x:c r="Q4" s="54" t="n">
        <x:f>(Inputs!$B$5+N4)/(1-Inputs!$B$4-Inputs!$B$15-Inputs!$B$16)</x:f>
        <x:v>3.3197160883280756</x:v>
      </x:c>
    </x:row>
    <x:row r="5">
      <x:c r="A5" s="54" t="str">
        <x:v>Plus</x:v>
      </x:c>
      <x:c r="B5" s="77" t="n">
        <x:v>19.9</x:v>
      </x:c>
      <x:c r="C5" s="78" t="n">
        <x:v>75</x:v>
      </x:c>
      <x:c r="D5" s="54" t="n">
        <x:f>B5/C5</x:f>
        <x:v>0.2653333333333333</x:v>
      </x:c>
      <x:c r="E5" s="54" t="n">
        <x:f>B5*Inputs!$B$4+Inputs!$B$5</x:f>
        <x:v>1.1761</x:v>
      </x:c>
      <x:c r="F5" s="54" t="n">
        <x:f>B5*Inputs!$B$15</x:f>
        <x:v>0</x:v>
      </x:c>
      <x:c r="G5" s="54" t="n">
        <x:f>B5*Inputs!$B$16</x:f>
        <x:v>0.19899999999999998</x:v>
      </x:c>
      <x:c r="H5" s="54" t="n">
        <x:f>B5-E5-F5-G5</x:f>
        <x:v>18.5249</x:v>
      </x:c>
      <x:c r="I5" s="54" t="n">
        <x:f>C5/Inputs!$B$12</x:f>
        <x:v>7.5</x:v>
      </x:c>
      <x:c r="J5" s="54" t="n">
        <x:f>C5*Inputs!$B$7/1000*Inputs!$B$6</x:f>
        <x:v>5.625</x:v>
      </x:c>
      <x:c r="K5" s="54" t="n">
        <x:f>I5*Inputs!$B$10/1000000*Inputs!$B$8+C5*Inputs!$B$11/1000000*Inputs!$B$9</x:f>
        <x:v>0.017625000000000002</x:v>
      </x:c>
      <x:c r="L5" s="54" t="n">
        <x:f>C5*Inputs!$B$13</x:f>
        <x:v>0</x:v>
      </x:c>
      <x:c r="M5" s="54" t="n">
        <x:f>Inputs!$B$14</x:f>
        <x:v>0.5</x:v>
      </x:c>
      <x:c r="N5" s="54" t="n">
        <x:f>J5+K5+L5+M5</x:f>
        <x:v>6.142625</x:v>
      </x:c>
      <x:c r="O5" s="54" t="n">
        <x:f>H5-N5</x:f>
        <x:v>12.382275</x:v>
      </x:c>
      <x:c r="P5" s="57" t="n">
        <x:f>O5/B5</x:f>
        <x:v>0.6222248743718594</x:v>
      </x:c>
      <x:c r="Q5" s="54" t="n">
        <x:f>(Inputs!$B$5+N5)/(1-Inputs!$B$4-Inputs!$B$15-Inputs!$B$16)</x:f>
        <x:v>6.879731861198739</x:v>
      </x:c>
    </x:row>
    <x:row r="6">
      <x:c r="A6" s="54" t="str">
        <x:v>Pro</x:v>
      </x:c>
      <x:c r="B6" s="79" t="n">
        <x:v>29.9</x:v>
      </x:c>
      <x:c r="C6" s="80" t="n">
        <x:v>120</x:v>
      </x:c>
      <x:c r="D6" s="54" t="n">
        <x:f>B6/C6</x:f>
        <x:v>0.24916666666666665</x:v>
      </x:c>
      <x:c r="E6" s="54" t="n">
        <x:f>B6*Inputs!$B$4+Inputs!$B$5</x:f>
        <x:v>1.5661</x:v>
      </x:c>
      <x:c r="F6" s="54" t="n">
        <x:f>B6*Inputs!$B$15</x:f>
        <x:v>0</x:v>
      </x:c>
      <x:c r="G6" s="54" t="n">
        <x:f>B6*Inputs!$B$16</x:f>
        <x:v>0.299</x:v>
      </x:c>
      <x:c r="H6" s="54" t="n">
        <x:f>B6-E6-F6-G6</x:f>
        <x:v>28.0349</x:v>
      </x:c>
      <x:c r="I6" s="54" t="n">
        <x:f>C6/Inputs!$B$12</x:f>
        <x:v>12</x:v>
      </x:c>
      <x:c r="J6" s="54" t="n">
        <x:f>C6*Inputs!$B$7/1000*Inputs!$B$6</x:f>
        <x:v>9</x:v>
      </x:c>
      <x:c r="K6" s="54" t="n">
        <x:f>I6*Inputs!$B$10/1000000*Inputs!$B$8+C6*Inputs!$B$11/1000000*Inputs!$B$9</x:f>
        <x:v>0.0282</x:v>
      </x:c>
      <x:c r="L6" s="54" t="n">
        <x:f>C6*Inputs!$B$13</x:f>
        <x:v>0</x:v>
      </x:c>
      <x:c r="M6" s="54" t="n">
        <x:f>Inputs!$B$14</x:f>
        <x:v>0.5</x:v>
      </x:c>
      <x:c r="N6" s="54" t="n">
        <x:f>J6+K6+L6+M6</x:f>
        <x:v>9.5282</x:v>
      </x:c>
      <x:c r="O6" s="54" t="n">
        <x:f>H6-N6</x:f>
        <x:v>18.506700000000002</x:v>
      </x:c>
      <x:c r="P6" s="57" t="n">
        <x:f>O6/B6</x:f>
        <x:v>0.6189531772575252</x:v>
      </x:c>
      <x:c r="Q6" s="54" t="n">
        <x:f>(Inputs!$B$5+N6)/(1-Inputs!$B$4-Inputs!$B$15-Inputs!$B$16)</x:f>
        <x:v>10.439747634069402</x:v>
      </x:c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</x:row>
    <x:row r="8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31.290000915527344" hidden="0" customWidth="1"/>
    <x:col min="3" max="3" width="43.560001373291016" hidden="0" customWidth="1"/>
    <x:col min="4" max="4" width="63.189998626708984" hidden="0" customWidth="1"/>
  </x:cols>
  <x:sheetData>
    <x:row r="1">
      <x:c r="A1" s="45" t="str">
        <x:v>Source Notes</x:v>
      </x:c>
      <x:c r="B1" s="45" t="str"/>
      <x:c r="C1" s="45" t="str"/>
      <x:c r="D1" s="45" t="str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</x:row>
    <x:row r="3">
      <x:c r="A3" s="47" t="str">
        <x:v>Item</x:v>
      </x:c>
      <x:c r="B3" s="48" t="str">
        <x:v>Assumption used</x:v>
      </x:c>
      <x:c r="C3" s="48" t="str">
        <x:v>Source URL</x:v>
      </x:c>
      <x:c r="D3" s="49" t="str">
        <x:v>Notes</x:v>
      </x:c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</x:row>
    <x:row r="4">
      <x:c r="A4" s="54" t="str">
        <x:v>Creem fee</x:v>
      </x:c>
      <x:c r="B4" s="54" t="str">
        <x:v>3.9% + $0.40 per successful transaction</x:v>
      </x:c>
      <x:c r="C4" s="54" t="str">
        <x:v>https://www.creem.io/pricing</x:v>
      </x:c>
      <x:c r="D4" s="58" t="str">
        <x:v>Pricing page states 3.9% + 40 cents per successful transaction.</x:v>
      </x:c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</x:row>
    <x:row r="5">
      <x:c r="A5" s="54" t="str">
        <x:v>ElevenLabs TTS</x:v>
      </x:c>
      <x:c r="B5" s="54" t="str">
        <x:v>$0.10 per 1K characters</x:v>
      </x:c>
      <x:c r="C5" s="54" t="str">
        <x:v>https://elevenlabs.io/pricing/api</x:v>
      </x:c>
      <x:c r="D5" s="58" t="str">
        <x:v>Matches current app default model family: Multilingual v2 / v3.</x:v>
      </x:c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</x:row>
    <x:row r="6">
      <x:c r="A6" s="54" t="str">
        <x:v>ElevenLabs Music optional</x:v>
      </x:c>
      <x:c r="B6" s="54" t="str">
        <x:v>$0.30 per generated minute</x:v>
      </x:c>
      <x:c r="C6" s="54" t="str">
        <x:v>https://elevenlabs.io/pricing/api</x:v>
      </x:c>
      <x:c r="D6" s="58" t="str">
        <x:v>Only relevant if background tracks are generated dynamically. Static licensed loops should stay at $0 in Inputs.</x:v>
      </x:c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</x:row>
    <x:row r="7">
      <x:c r="A7" s="54" t="str">
        <x:v>OpenRouter Qwen3.6 Flash</x:v>
      </x:c>
      <x:c r="B7" s="54" t="str">
        <x:v>$0.25/M input tokens, $1.50/M output tokens</x:v>
      </x:c>
      <x:c r="C7" s="54" t="str">
        <x:v>https://openrouter.ai/qwen/qwen3.6-flash</x:v>
      </x:c>
      <x:c r="D7" s="58" t="str">
        <x:v>Current code default is qwen/qwen3.6-flash.</x:v>
      </x:c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</x:row>
    <x:row r="8">
      <x:c r="A8" s="54" t="str">
        <x:v>Product credit rule</x:v>
      </x:c>
      <x:c r="B8" s="54" t="str">
        <x:v>1 credit = 1 generated minute</x:v>
      </x:c>
      <x:c r="C8" s="54" t="str">
        <x:v>src/lib/credits.ts</x:v>
      </x:c>
      <x:c r="D8" s="58" t="str">
        <x:v>getGenerationCreditCost returns durationMinutes.</x:v>
      </x:c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</x:row>
    <x:row r="9">
      <x:c r="A9" s="54" t="str">
        <x:v>Pricing env</x:v>
      </x:c>
      <x:c r="B9" s="54" t="str">
        <x:v>Monthly display fallback $19</x:v>
      </x:c>
      <x:c r="C9" s="54" t="str">
        <x:v>src/app/pricing/page.tsx</x:v>
      </x:c>
      <x:c r="D9" s="58" t="str">
        <x:v>NEXT_PUBLIC_MONTHLY_PRICE_USD can override display price.</x:v>
      </x:c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</x:row>
  </x:sheetData>
  <x:pageMargins left="0.7" right="0.7" top="0.75" bottom="0.75" header="0.3" footer="0.3"/>
</x:worksheet>
</file>